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Costs" sheetId="3" state="visible" r:id="rId5"/>
    <sheet name="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<sst xmlns="http://schemas.openxmlformats.org/spreadsheetml/2006/main" count="168" uniqueCount="135">
  <si>
    <t xml:space="preserve">Spin It – what it costs</t>
  </si>
  <si>
    <t xml:space="preserve">Totals pull from the Costs tab. Change usage on the Assumptions tab.</t>
  </si>
  <si>
    <t xml:space="preserve">Launch (small)</t>
  </si>
  <si>
    <t xml:space="preserve">Growth</t>
  </si>
  <si>
    <t xml:space="preserve">Launch (QAR)</t>
  </si>
  <si>
    <t xml:space="preserve">Growth (QAR)</t>
  </si>
  <si>
    <t xml:space="preserve">Before launch (one-time)</t>
  </si>
  <si>
    <t xml:space="preserve">Every month</t>
  </si>
  <si>
    <t xml:space="preserve">Every year (fixed fees)</t>
  </si>
  <si>
    <t xml:space="preserve">First year in total</t>
  </si>
  <si>
    <t xml:space="preserve">AI tab per month (included above)</t>
  </si>
  <si>
    <t xml:space="preserve">Not included (unknown until you check): Qatar commercial registration, photo rights, marketing. Yellow cells on the Costs tab.</t>
  </si>
  <si>
    <t xml:space="preserve">Prices checked Oct 2026. Services change prices; check each provider’s pricing page before you pay.</t>
  </si>
  <si>
    <t xml:space="preserve">Spin It – cost assumptions</t>
  </si>
  <si>
    <t xml:space="preserve">Blue numbers are inputs: change them and every total updates. Yellow = guesses you should replace with your own numbers.</t>
  </si>
  <si>
    <t xml:space="preserve">Input</t>
  </si>
  <si>
    <t xml:space="preserve">Unit</t>
  </si>
  <si>
    <t xml:space="preserve">Where this comes from</t>
  </si>
  <si>
    <t xml:space="preserve">Monthly active users</t>
  </si>
  <si>
    <t xml:space="preserve">people</t>
  </si>
  <si>
    <t xml:space="preserve">Your guess. Launch = friends + early Doha users; Growth = after marketing.</t>
  </si>
  <si>
    <t xml:space="preserve">AI questions per user per month</t>
  </si>
  <si>
    <t xml:space="preserve">questions</t>
  </si>
  <si>
    <t xml:space="preserve">Your guess.</t>
  </si>
  <si>
    <t xml:space="preserve">Input tokens per AI question</t>
  </si>
  <si>
    <t xml:space="preserve">tokens</t>
  </si>
  <si>
    <t xml:space="preserve">Measured from the app: the prompt sends all 154 places (~10K tokens).</t>
  </si>
  <si>
    <t xml:space="preserve">Output tokens per AI question</t>
  </si>
  <si>
    <t xml:space="preserve">Short reply (&lt;70 words) plus a little thinking. Estimate.</t>
  </si>
  <si>
    <t xml:space="preserve">Claude Haiku 5.5 input price</t>
  </si>
  <si>
    <t xml:space="preserve">USD per 1M tokens</t>
  </si>
  <si>
    <t xml:space="preserve">Anthropic model price list (claude-haiku-5-5), Oct 2026.</t>
  </si>
  <si>
    <t xml:space="preserve">Claude Haiku 5.5 output price</t>
  </si>
  <si>
    <t xml:space="preserve">Table bookings per month</t>
  </si>
  <si>
    <t xml:space="preserve">bookings</t>
  </si>
  <si>
    <t xml:space="preserve">WhatsApp messages per booking</t>
  </si>
  <si>
    <t xml:space="preserve">messages</t>
  </si>
  <si>
    <t xml:space="preserve">The app sends the venue one booking request (supabase/functions/notify-venues).</t>
  </si>
  <si>
    <t xml:space="preserve">WhatsApp utility message price (Qatar)</t>
  </si>
  <si>
    <t xml:space="preserve">USD per message</t>
  </si>
  <si>
    <t xml:space="preserve">Reseller rate cards for Qatar, Oct 2026 ($0.012–$0.0138). Check Meta’s rate card.</t>
  </si>
  <si>
    <t xml:space="preserve">USD to QAR</t>
  </si>
  <si>
    <t xml:space="preserve">QAR per USD</t>
  </si>
  <si>
    <t xml:space="preserve">Fixed peg: 1 USD = 3.64 QAR.</t>
  </si>
  <si>
    <t xml:space="preserve">Spin It – every cost, before launch and after</t>
  </si>
  <si>
    <t xml:space="preserve">All amounts in USD. Year-1 total = one-time + 12 × monthly + yearly fee. Green numbers come from the Assumptions tab.</t>
  </si>
  <si>
    <t xml:space="preserve">Category</t>
  </si>
  <si>
    <t xml:space="preserve">Item</t>
  </si>
  <si>
    <t xml:space="preserve">What it pays for</t>
  </si>
  <si>
    <t xml:space="preserve">Needed?</t>
  </si>
  <si>
    <t xml:space="preserve">One-time (USD)</t>
  </si>
  <si>
    <t xml:space="preserve">Monthly – Launch (USD)</t>
  </si>
  <si>
    <t xml:space="preserve">Monthly – Growth (USD)</t>
  </si>
  <si>
    <t xml:space="preserve">Yearly fee (USD)</t>
  </si>
  <si>
    <t xml:space="preserve">Year 1 – Launch (USD)</t>
  </si>
  <si>
    <t xml:space="preserve">Year 1 – Growth (USD)</t>
  </si>
  <si>
    <t xml:space="preserve">Notes / source</t>
  </si>
  <si>
    <t xml:space="preserve">App stores</t>
  </si>
  <si>
    <t xml:space="preserve">Apple Developer Program</t>
  </si>
  <si>
    <t xml:space="preserve">Putting the app on iPhones (TestFlight + App Store)</t>
  </si>
  <si>
    <t xml:space="preserve">Yes, for iPhone</t>
  </si>
  <si>
    <t xml:space="preserve">Apple, fixed price. Account holder must be 18+ (a parent can enrol).</t>
  </si>
  <si>
    <t xml:space="preserve">Google Play Console</t>
  </si>
  <si>
    <t xml:space="preserve">Putting the app on Android (Play Store)</t>
  </si>
  <si>
    <t xml:space="preserve">Yes, for Android</t>
  </si>
  <si>
    <t xml:space="preserve">Google, one-time fee. Account holder must be 18+.</t>
  </si>
  <si>
    <t xml:space="preserve">Backend</t>
  </si>
  <si>
    <t xml:space="preserve">Supabase</t>
  </si>
  <si>
    <t xml:space="preserve">Database, accounts, spins, bookings, squad votes, backend functions</t>
  </si>
  <si>
    <t xml:space="preserve">Yes</t>
  </si>
  <si>
    <t xml:space="preserve">Pro plan $25/mo (free plan pauses when idle, not for a live app). Growth adds compute; $60 is an estimate. supabase.com/pricing</t>
  </si>
  <si>
    <t xml:space="preserve">Anthropic API – Claude Haiku 5.5</t>
  </si>
  <si>
    <t xml:space="preserve">The AI tab</t>
  </si>
  <si>
    <t xml:space="preserve">Yes (or turn AI off)</t>
  </si>
  <si>
    <t xml:space="preserve">Formula from Assumptions. Prompt caching would cut this further.</t>
  </si>
  <si>
    <t xml:space="preserve">Firebase Cloud Messaging</t>
  </si>
  <si>
    <t xml:space="preserve">Push notifications</t>
  </si>
  <si>
    <t xml:space="preserve">Free.</t>
  </si>
  <si>
    <t xml:space="preserve">WhatsApp Cloud API (Meta)</t>
  </si>
  <si>
    <t xml:space="preserve">Booking requests sent to venues on WhatsApp</t>
  </si>
  <si>
    <t xml:space="preserve">Optional</t>
  </si>
  <si>
    <t xml:space="preserve">Formula from Assumptions. First 1,000 service messages a month are free; booking requests are utility templates.</t>
  </si>
  <si>
    <t xml:space="preserve">Resend (email)</t>
  </si>
  <si>
    <t xml:space="preserve">Booking emails to venues, password reset emails</t>
  </si>
  <si>
    <t xml:space="preserve">Free up to 3,000 emails/month; Pro ~$20/mo after that.</t>
  </si>
  <si>
    <t xml:space="preserve">Google Places API</t>
  </si>
  <si>
    <t xml:space="preserve">Weekly opening-hours refresh</t>
  </si>
  <si>
    <t xml:space="preserve">About 154 lookups a week stays inside Google’s free monthly usage. Estimate.</t>
  </si>
  <si>
    <t xml:space="preserve">Building &amp; hosting</t>
  </si>
  <si>
    <t xml:space="preserve">Expo (EAS)</t>
  </si>
  <si>
    <t xml:space="preserve">Building the iPhone/Android apps in the cloud, web hosting</t>
  </si>
  <si>
    <t xml:space="preserve">Free: 15 Android + 15 iOS builds/month. Starter $19/mo for faster builds and app updates. expo.dev/pricing</t>
  </si>
  <si>
    <t xml:space="preserve">Web pages hosting (squad vote, venue, staff pages)</t>
  </si>
  <si>
    <t xml:space="preserve">Links people open without the app</t>
  </si>
  <si>
    <t xml:space="preserve">EAS Hosting free plan. If you use Vercel instead: Hobby is not allowed for business use, Pro is $20/mo.</t>
  </si>
  <si>
    <t xml:space="preserve">Domain name (spinit.app)</t>
  </si>
  <si>
    <t xml:space="preserve">Short links like spinit.app/s/4821</t>
  </si>
  <si>
    <t xml:space="preserve">Recommended</t>
  </si>
  <si>
    <t xml:space="preserve">.app domains are roughly $15–20/yr, if the name is free. Check a registrar.</t>
  </si>
  <si>
    <t xml:space="preserve">Mac computer</t>
  </si>
  <si>
    <t xml:space="preserve">Needed only for the Capacitor iPhone build in Xcode</t>
  </si>
  <si>
    <t xml:space="preserve">Have one</t>
  </si>
  <si>
    <t xml:space="preserve">You have a MacBook. With Expo building in the cloud you may not need it.</t>
  </si>
  <si>
    <t xml:space="preserve">Business &amp; legal</t>
  </si>
  <si>
    <t xml:space="preserve">Privacy policy + terms</t>
  </si>
  <si>
    <t xml:space="preserve">Required by both app stores</t>
  </si>
  <si>
    <t xml:space="preserve">$0 if written yourself (Claude can draft). A lawyer review is optional: get a quote.</t>
  </si>
  <si>
    <t xml:space="preserve">Qatar commercial registration / licence</t>
  </si>
  <si>
    <t xml:space="preserve">Running a business app that takes bookings</t>
  </si>
  <si>
    <t xml:space="preserve">Check</t>
  </si>
  <si>
    <t xml:space="preserve">Unknown: check with the Ministry of Commerce and Industry (MOCI). Fill in once you know.</t>
  </si>
  <si>
    <t xml:space="preserve">Photo rights</t>
  </si>
  <si>
    <t xml:space="preserve">Venue photos from visitqatar.com and venue sites</t>
  </si>
  <si>
    <t xml:space="preserve">Unknown: ask for permission or use your own photos. Fill in if you pay for any.</t>
  </si>
  <si>
    <t xml:space="preserve">Marketing</t>
  </si>
  <si>
    <t xml:space="preserve">Instagram/TikTok ads, launch events</t>
  </si>
  <si>
    <t xml:space="preserve">Your budget. Fill in.</t>
  </si>
  <si>
    <t xml:space="preserve">TOTAL (USD)</t>
  </si>
  <si>
    <t xml:space="preserve">TOTAL (QAR)</t>
  </si>
  <si>
    <t xml:space="preserve">Sources</t>
  </si>
  <si>
    <t xml:space="preserve">Expo / EAS</t>
  </si>
  <si>
    <t xml:space="preserve">https://expo.dev/pricing</t>
  </si>
  <si>
    <t xml:space="preserve">https://supabase.com/pricing</t>
  </si>
  <si>
    <t xml:space="preserve">Supabase (third-party summary)</t>
  </si>
  <si>
    <t xml:space="preserve">https://makerkit.dev/blog/md/saas/supabase-pricing</t>
  </si>
  <si>
    <t xml:space="preserve">Vercel Hobby = personal use only</t>
  </si>
  <si>
    <t xml:space="preserve">https://vercel.com/docs/plans/hobby</t>
  </si>
  <si>
    <t xml:space="preserve">WhatsApp Qatar rates (reseller)</t>
  </si>
  <si>
    <t xml:space="preserve">https://whautomate.com/whatsapp-business-api-pricing-qatar</t>
  </si>
  <si>
    <t xml:space="preserve">WhatsApp 2026 pricing changes</t>
  </si>
  <si>
    <t xml:space="preserve">https://chatmi.io/en/blog/whatsapp-pricing-2026-guide</t>
  </si>
  <si>
    <t xml:space="preserve">https://developer.apple.com/programs/</t>
  </si>
  <si>
    <t xml:space="preserve">https://play.google.com/console/signup</t>
  </si>
  <si>
    <t xml:space="preserve">Anthropic pricing</t>
  </si>
  <si>
    <t xml:space="preserve">https://www.anthropic.com/pricing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</si>
</sst>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&quot;QAR &quot;#,##0;&quot;(QAR &quot;#,##0\);\-"/>
    <numFmt numFmtId="167" formatCode="#,##0"/>
    <numFmt numFmtId="168" formatCode="#,##0.0000"/>
    <numFmt numFmtId="169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1D33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3E6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C4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4D6"/>
      <rgbColor rgb="FF808080"/>
      <rgbColor rgb="FF9999FF"/>
      <rgbColor rgb="FF993366"/>
      <rgbColor rgb="FFF3E6F0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1D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expo.dev/pricing" TargetMode="External"/><Relationship Id="rId2" Type="http://schemas.openxmlformats.org/officeDocument/2006/relationships/hyperlink" Target="https://supabase.com/pricing" TargetMode="External"/><Relationship Id="rId3" Type="http://schemas.openxmlformats.org/officeDocument/2006/relationships/hyperlink" Target="https://makerkit.dev/blog/md/saas/supabase-pricing" TargetMode="External"/><Relationship Id="rId4" Type="http://schemas.openxmlformats.org/officeDocument/2006/relationships/hyperlink" Target="https://vercel.com/docs/plans/hobby" TargetMode="External"/><Relationship Id="rId5" Type="http://schemas.openxmlformats.org/officeDocument/2006/relationships/hyperlink" Target="https://whautomate.com/whatsapp-business-api-pricing-qatar" TargetMode="External"/><Relationship Id="rId6" Type="http://schemas.openxmlformats.org/officeDocument/2006/relationships/hyperlink" Target="https://chatmi.io/en/blog/whatsapp-pricing-2026-guide" TargetMode="External"/><Relationship Id="rId7" Type="http://schemas.openxmlformats.org/officeDocument/2006/relationships/hyperlink" Target="https://developer.apple.com/programs/" TargetMode="External"/><Relationship Id="rId8" Type="http://schemas.openxmlformats.org/officeDocument/2006/relationships/hyperlink" Target="https://play.google.com/console/signup" TargetMode="External"/><Relationship Id="rId9" Type="http://schemas.openxmlformats.org/officeDocument/2006/relationships/hyperlink" Target="https://www.anthropic.com/prici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3" t="s">
        <v>2</v>
      </c>
      <c r="C4" s="3" t="s">
        <v>3</v>
      </c>
      <c r="D4" s="3" t="s">
        <v>4</v>
      </c>
      <c r="E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Costs!E26</f>
        <v>25</v>
      </c>
      <c r="C5" s="5" t="n">
        <f aca="false">Costs!E26</f>
        <v>25</v>
      </c>
      <c r="D5" s="6" t="n">
        <f aca="false">B5*Assumptions!$B$14</f>
        <v>91</v>
      </c>
      <c r="E5" s="6" t="n">
        <f aca="false">C5*Assumptions!$B$14</f>
        <v>91</v>
      </c>
    </row>
    <row r="6" customFormat="false" ht="15" hidden="false" customHeight="false" outlineLevel="0" collapsed="false">
      <c r="A6" s="4" t="s">
        <v>7</v>
      </c>
      <c r="B6" s="5" t="n">
        <f aca="false">Costs!F26</f>
        <v>32.38</v>
      </c>
      <c r="C6" s="5" t="n">
        <f aca="false">Costs!G26</f>
        <v>172.8</v>
      </c>
      <c r="D6" s="6" t="n">
        <f aca="false">B6*Assumptions!$B$14</f>
        <v>117.8632</v>
      </c>
      <c r="E6" s="6" t="n">
        <f aca="false">C6*Assumptions!$B$14</f>
        <v>628.992</v>
      </c>
    </row>
    <row r="7" customFormat="false" ht="15" hidden="false" customHeight="false" outlineLevel="0" collapsed="false">
      <c r="A7" s="4" t="s">
        <v>8</v>
      </c>
      <c r="B7" s="5" t="n">
        <f aca="false">Costs!H26</f>
        <v>119</v>
      </c>
      <c r="C7" s="5" t="n">
        <f aca="false">Costs!H26</f>
        <v>119</v>
      </c>
      <c r="D7" s="6" t="n">
        <f aca="false">B7*Assumptions!$B$14</f>
        <v>433.16</v>
      </c>
      <c r="E7" s="6" t="n">
        <f aca="false">C7*Assumptions!$B$14</f>
        <v>433.16</v>
      </c>
    </row>
    <row r="8" customFormat="false" ht="15" hidden="false" customHeight="false" outlineLevel="0" collapsed="false">
      <c r="A8" s="7" t="s">
        <v>9</v>
      </c>
      <c r="B8" s="5" t="n">
        <f aca="false">Costs!I26</f>
        <v>532.56</v>
      </c>
      <c r="C8" s="5" t="n">
        <f aca="false">Costs!J26</f>
        <v>2217.6</v>
      </c>
      <c r="D8" s="6" t="n">
        <f aca="false">B8*Assumptions!$B$14</f>
        <v>1938.5184</v>
      </c>
      <c r="E8" s="6" t="n">
        <f aca="false">C8*Assumptions!$B$14</f>
        <v>8072.064</v>
      </c>
    </row>
    <row r="9" customFormat="false" ht="15" hidden="false" customHeight="false" outlineLevel="0" collapsed="false">
      <c r="A9" s="4" t="s">
        <v>10</v>
      </c>
      <c r="B9" s="5" t="n">
        <f aca="false">INDEX(Costs!F:F,MATCH("Anthropic API – Claude Haiku 5.5",Costs!B:B,0))</f>
        <v>6</v>
      </c>
      <c r="C9" s="5" t="n">
        <f aca="false">INDEX(Costs!G:G,MATCH("Anthropic API – Claude Haiku 5.5",Costs!B:B,0))</f>
        <v>60</v>
      </c>
      <c r="D9" s="6" t="n">
        <f aca="false">B9*Assumptions!$B$14</f>
        <v>21.84</v>
      </c>
      <c r="E9" s="6" t="n">
        <f aca="false">C9*Assumptions!$B$14</f>
        <v>218.4</v>
      </c>
    </row>
    <row r="11" customFormat="false" ht="15" hidden="false" customHeight="false" outlineLevel="0" collapsed="false">
      <c r="A11" s="2" t="s">
        <v>11</v>
      </c>
    </row>
    <row r="12" customFormat="false" ht="15" hidden="false" customHeight="false" outlineLevel="0" collapsed="false">
      <c r="A12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4" customFormat="false" ht="15" hidden="false" customHeight="false" outlineLevel="0" collapsed="false">
      <c r="A4" s="3" t="s">
        <v>15</v>
      </c>
      <c r="B4" s="3" t="s">
        <v>2</v>
      </c>
      <c r="C4" s="3" t="s">
        <v>3</v>
      </c>
      <c r="D4" s="3" t="s">
        <v>16</v>
      </c>
      <c r="E4" s="3" t="s">
        <v>17</v>
      </c>
    </row>
    <row r="5" customFormat="false" ht="15" hidden="false" customHeight="false" outlineLevel="0" collapsed="false">
      <c r="A5" s="4" t="s">
        <v>18</v>
      </c>
      <c r="B5" s="8" t="n">
        <v>500</v>
      </c>
      <c r="C5" s="8" t="n">
        <v>5000</v>
      </c>
      <c r="D5" s="4" t="s">
        <v>19</v>
      </c>
      <c r="E5" s="4" t="s">
        <v>20</v>
      </c>
    </row>
    <row r="6" customFormat="false" ht="15" hidden="false" customHeight="false" outlineLevel="0" collapsed="false">
      <c r="A6" s="4" t="s">
        <v>21</v>
      </c>
      <c r="B6" s="8" t="n">
        <v>10</v>
      </c>
      <c r="C6" s="8" t="n">
        <v>10</v>
      </c>
      <c r="D6" s="4" t="s">
        <v>22</v>
      </c>
      <c r="E6" s="4" t="s">
        <v>23</v>
      </c>
    </row>
    <row r="7" customFormat="false" ht="15" hidden="false" customHeight="false" outlineLevel="0" collapsed="false">
      <c r="A7" s="4" t="s">
        <v>24</v>
      </c>
      <c r="B7" s="9" t="n">
        <v>10000</v>
      </c>
      <c r="C7" s="9" t="n">
        <v>10000</v>
      </c>
      <c r="D7" s="4" t="s">
        <v>25</v>
      </c>
      <c r="E7" s="4" t="s">
        <v>26</v>
      </c>
    </row>
    <row r="8" customFormat="false" ht="15" hidden="false" customHeight="false" outlineLevel="0" collapsed="false">
      <c r="A8" s="4" t="s">
        <v>27</v>
      </c>
      <c r="B8" s="9" t="n">
        <v>400</v>
      </c>
      <c r="C8" s="9" t="n">
        <v>400</v>
      </c>
      <c r="D8" s="4" t="s">
        <v>25</v>
      </c>
      <c r="E8" s="4" t="s">
        <v>28</v>
      </c>
    </row>
    <row r="9" customFormat="false" ht="15" hidden="false" customHeight="false" outlineLevel="0" collapsed="false">
      <c r="A9" s="4" t="s">
        <v>29</v>
      </c>
      <c r="B9" s="10" t="n">
        <v>0.1</v>
      </c>
      <c r="C9" s="10" t="n">
        <v>0.1</v>
      </c>
      <c r="D9" s="4" t="s">
        <v>30</v>
      </c>
      <c r="E9" s="4" t="s">
        <v>31</v>
      </c>
    </row>
    <row r="10" customFormat="false" ht="15" hidden="false" customHeight="false" outlineLevel="0" collapsed="false">
      <c r="A10" s="4" t="s">
        <v>32</v>
      </c>
      <c r="B10" s="10" t="n">
        <v>0.5</v>
      </c>
      <c r="C10" s="10" t="n">
        <v>0.5</v>
      </c>
      <c r="D10" s="4" t="s">
        <v>30</v>
      </c>
      <c r="E10" s="4" t="s">
        <v>31</v>
      </c>
    </row>
    <row r="11" customFormat="false" ht="15" hidden="false" customHeight="false" outlineLevel="0" collapsed="false">
      <c r="A11" s="4" t="s">
        <v>33</v>
      </c>
      <c r="B11" s="8" t="n">
        <v>100</v>
      </c>
      <c r="C11" s="8" t="n">
        <v>1000</v>
      </c>
      <c r="D11" s="4" t="s">
        <v>34</v>
      </c>
      <c r="E11" s="4" t="s">
        <v>23</v>
      </c>
    </row>
    <row r="12" customFormat="false" ht="15" hidden="false" customHeight="false" outlineLevel="0" collapsed="false">
      <c r="A12" s="4" t="s">
        <v>35</v>
      </c>
      <c r="B12" s="9" t="n">
        <v>1</v>
      </c>
      <c r="C12" s="9" t="n">
        <v>1</v>
      </c>
      <c r="D12" s="4" t="s">
        <v>36</v>
      </c>
      <c r="E12" s="4" t="s">
        <v>37</v>
      </c>
    </row>
    <row r="13" customFormat="false" ht="15" hidden="false" customHeight="false" outlineLevel="0" collapsed="false">
      <c r="A13" s="4" t="s">
        <v>38</v>
      </c>
      <c r="B13" s="10" t="n">
        <v>0.0138</v>
      </c>
      <c r="C13" s="10" t="n">
        <v>0.0138</v>
      </c>
      <c r="D13" s="4" t="s">
        <v>39</v>
      </c>
      <c r="E13" s="4" t="s">
        <v>40</v>
      </c>
    </row>
    <row r="14" customFormat="false" ht="15" hidden="false" customHeight="false" outlineLevel="0" collapsed="false">
      <c r="A14" s="4" t="s">
        <v>41</v>
      </c>
      <c r="B14" s="11" t="n">
        <v>3.64</v>
      </c>
      <c r="C14" s="11" t="n">
        <v>3.64</v>
      </c>
      <c r="D14" s="4" t="s">
        <v>42</v>
      </c>
      <c r="E14" s="4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7" min="6" style="0" width="15"/>
    <col collapsed="false" customWidth="true" hidden="false" outlineLevel="0" max="8" min="8" style="0" width="13"/>
    <col collapsed="false" customWidth="true" hidden="false" outlineLevel="0" max="10" min="9" style="0" width="15"/>
    <col collapsed="false" customWidth="true" hidden="false" outlineLevel="0" max="11" min="11" style="0" width="70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26.85" hidden="false" customHeight="false" outlineLevel="0" collapsed="false">
      <c r="A4" s="12" t="s">
        <v>46</v>
      </c>
      <c r="B4" s="12" t="s">
        <v>47</v>
      </c>
      <c r="C4" s="12" t="s">
        <v>48</v>
      </c>
      <c r="D4" s="12" t="s">
        <v>49</v>
      </c>
      <c r="E4" s="12" t="s">
        <v>50</v>
      </c>
      <c r="F4" s="12" t="s">
        <v>51</v>
      </c>
      <c r="G4" s="12" t="s">
        <v>52</v>
      </c>
      <c r="H4" s="12" t="s">
        <v>53</v>
      </c>
      <c r="I4" s="12" t="s">
        <v>54</v>
      </c>
      <c r="J4" s="12" t="s">
        <v>55</v>
      </c>
      <c r="K4" s="12" t="s">
        <v>56</v>
      </c>
    </row>
    <row r="5" customFormat="false" ht="15" hidden="false" customHeight="false" outlineLevel="0" collapsed="false">
      <c r="A5" s="13" t="s">
        <v>57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6" customFormat="false" ht="26.85" hidden="false" customHeight="false" outlineLevel="0" collapsed="false">
      <c r="A6" s="15" t="s">
        <v>57</v>
      </c>
      <c r="B6" s="15" t="s">
        <v>58</v>
      </c>
      <c r="C6" s="15" t="s">
        <v>59</v>
      </c>
      <c r="D6" s="15" t="s">
        <v>60</v>
      </c>
      <c r="E6" s="16" t="n">
        <v>0</v>
      </c>
      <c r="F6" s="16" t="n">
        <v>0</v>
      </c>
      <c r="G6" s="16" t="n">
        <v>0</v>
      </c>
      <c r="H6" s="16" t="n">
        <v>99</v>
      </c>
      <c r="I6" s="17" t="n">
        <f aca="false">N(E6)+N(F6)*12+N(H6)</f>
        <v>99</v>
      </c>
      <c r="J6" s="17" t="n">
        <f aca="false">N(E6)+N(G6)*12+N(H6)</f>
        <v>99</v>
      </c>
      <c r="K6" s="15" t="s">
        <v>61</v>
      </c>
    </row>
    <row r="7" customFormat="false" ht="15" hidden="false" customHeight="false" outlineLevel="0" collapsed="false">
      <c r="A7" s="15" t="s">
        <v>57</v>
      </c>
      <c r="B7" s="15" t="s">
        <v>62</v>
      </c>
      <c r="C7" s="15" t="s">
        <v>63</v>
      </c>
      <c r="D7" s="15" t="s">
        <v>64</v>
      </c>
      <c r="E7" s="16" t="n">
        <v>25</v>
      </c>
      <c r="F7" s="16" t="n">
        <v>0</v>
      </c>
      <c r="G7" s="16" t="n">
        <v>0</v>
      </c>
      <c r="H7" s="16" t="n">
        <v>0</v>
      </c>
      <c r="I7" s="17" t="n">
        <f aca="false">N(E7)+N(F7)*12+N(H7)</f>
        <v>25</v>
      </c>
      <c r="J7" s="17" t="n">
        <f aca="false">N(E7)+N(G7)*12+N(H7)</f>
        <v>25</v>
      </c>
      <c r="K7" s="15" t="s">
        <v>65</v>
      </c>
    </row>
    <row r="8" customFormat="false" ht="15" hidden="false" customHeight="false" outlineLevel="0" collapsed="false">
      <c r="A8" s="13" t="s">
        <v>66</v>
      </c>
      <c r="B8" s="14"/>
      <c r="C8" s="14"/>
      <c r="D8" s="14"/>
      <c r="E8" s="14"/>
      <c r="F8" s="14"/>
      <c r="G8" s="14"/>
      <c r="H8" s="14"/>
      <c r="I8" s="14"/>
      <c r="J8" s="14"/>
      <c r="K8" s="14"/>
    </row>
    <row r="9" customFormat="false" ht="26.85" hidden="false" customHeight="false" outlineLevel="0" collapsed="false">
      <c r="A9" s="15" t="s">
        <v>66</v>
      </c>
      <c r="B9" s="15" t="s">
        <v>67</v>
      </c>
      <c r="C9" s="15" t="s">
        <v>68</v>
      </c>
      <c r="D9" s="15" t="s">
        <v>69</v>
      </c>
      <c r="E9" s="16" t="n">
        <v>0</v>
      </c>
      <c r="F9" s="16" t="n">
        <v>25</v>
      </c>
      <c r="G9" s="16" t="n">
        <v>60</v>
      </c>
      <c r="H9" s="16" t="n">
        <v>0</v>
      </c>
      <c r="I9" s="17" t="n">
        <f aca="false">N(E9)+N(F9)*12+N(H9)</f>
        <v>300</v>
      </c>
      <c r="J9" s="17" t="n">
        <f aca="false">N(E9)+N(G9)*12+N(H9)</f>
        <v>720</v>
      </c>
      <c r="K9" s="15" t="s">
        <v>70</v>
      </c>
    </row>
    <row r="10" customFormat="false" ht="26.85" hidden="false" customHeight="false" outlineLevel="0" collapsed="false">
      <c r="A10" s="15" t="s">
        <v>66</v>
      </c>
      <c r="B10" s="15" t="s">
        <v>71</v>
      </c>
      <c r="C10" s="15" t="s">
        <v>72</v>
      </c>
      <c r="D10" s="15" t="s">
        <v>73</v>
      </c>
      <c r="E10" s="16" t="n">
        <v>0</v>
      </c>
      <c r="F10" s="18" t="n">
        <f aca="false">Assumptions!B5*Assumptions!B6*(Assumptions!B7*Assumptions!B9+Assumptions!B8*Assumptions!B10)/1000000</f>
        <v>6</v>
      </c>
      <c r="G10" s="18" t="n">
        <f aca="false">Assumptions!C5*Assumptions!C6*(Assumptions!C7*Assumptions!C9+Assumptions!C8*Assumptions!C10)/1000000</f>
        <v>60</v>
      </c>
      <c r="H10" s="16" t="n">
        <v>0</v>
      </c>
      <c r="I10" s="17" t="n">
        <f aca="false">N(E10)+N(F10)*12+N(H10)</f>
        <v>72</v>
      </c>
      <c r="J10" s="17" t="n">
        <f aca="false">N(E10)+N(G10)*12+N(H10)</f>
        <v>720</v>
      </c>
      <c r="K10" s="15" t="s">
        <v>74</v>
      </c>
    </row>
    <row r="11" customFormat="false" ht="15" hidden="false" customHeight="false" outlineLevel="0" collapsed="false">
      <c r="A11" s="15" t="s">
        <v>66</v>
      </c>
      <c r="B11" s="15" t="s">
        <v>75</v>
      </c>
      <c r="C11" s="15" t="s">
        <v>76</v>
      </c>
      <c r="D11" s="15" t="s">
        <v>69</v>
      </c>
      <c r="E11" s="16" t="n">
        <v>0</v>
      </c>
      <c r="F11" s="16" t="n">
        <v>0</v>
      </c>
      <c r="G11" s="16" t="n">
        <v>0</v>
      </c>
      <c r="H11" s="16" t="n">
        <v>0</v>
      </c>
      <c r="I11" s="17" t="n">
        <f aca="false">N(E11)+N(F11)*12+N(H11)</f>
        <v>0</v>
      </c>
      <c r="J11" s="17" t="n">
        <f aca="false">N(E11)+N(G11)*12+N(H11)</f>
        <v>0</v>
      </c>
      <c r="K11" s="15" t="s">
        <v>77</v>
      </c>
    </row>
    <row r="12" customFormat="false" ht="26.85" hidden="false" customHeight="false" outlineLevel="0" collapsed="false">
      <c r="A12" s="15" t="s">
        <v>66</v>
      </c>
      <c r="B12" s="15" t="s">
        <v>78</v>
      </c>
      <c r="C12" s="15" t="s">
        <v>79</v>
      </c>
      <c r="D12" s="15" t="s">
        <v>80</v>
      </c>
      <c r="E12" s="16" t="n">
        <v>0</v>
      </c>
      <c r="F12" s="18" t="n">
        <f aca="false">Assumptions!B11*Assumptions!B12*Assumptions!B13</f>
        <v>1.38</v>
      </c>
      <c r="G12" s="18" t="n">
        <f aca="false">Assumptions!C11*Assumptions!C12*Assumptions!C13</f>
        <v>13.8</v>
      </c>
      <c r="H12" s="16" t="n">
        <v>0</v>
      </c>
      <c r="I12" s="17" t="n">
        <f aca="false">N(E12)+N(F12)*12+N(H12)</f>
        <v>16.56</v>
      </c>
      <c r="J12" s="17" t="n">
        <f aca="false">N(E12)+N(G12)*12+N(H12)</f>
        <v>165.6</v>
      </c>
      <c r="K12" s="15" t="s">
        <v>81</v>
      </c>
    </row>
    <row r="13" customFormat="false" ht="26.85" hidden="false" customHeight="false" outlineLevel="0" collapsed="false">
      <c r="A13" s="15" t="s">
        <v>66</v>
      </c>
      <c r="B13" s="15" t="s">
        <v>82</v>
      </c>
      <c r="C13" s="15" t="s">
        <v>83</v>
      </c>
      <c r="D13" s="15" t="s">
        <v>80</v>
      </c>
      <c r="E13" s="16" t="n">
        <v>0</v>
      </c>
      <c r="F13" s="16" t="n">
        <v>0</v>
      </c>
      <c r="G13" s="16" t="n">
        <v>20</v>
      </c>
      <c r="H13" s="16" t="n">
        <v>0</v>
      </c>
      <c r="I13" s="17" t="n">
        <f aca="false">N(E13)+N(F13)*12+N(H13)</f>
        <v>0</v>
      </c>
      <c r="J13" s="17" t="n">
        <f aca="false">N(E13)+N(G13)*12+N(H13)</f>
        <v>240</v>
      </c>
      <c r="K13" s="15" t="s">
        <v>84</v>
      </c>
    </row>
    <row r="14" customFormat="false" ht="26.85" hidden="false" customHeight="false" outlineLevel="0" collapsed="false">
      <c r="A14" s="15" t="s">
        <v>66</v>
      </c>
      <c r="B14" s="15" t="s">
        <v>85</v>
      </c>
      <c r="C14" s="15" t="s">
        <v>86</v>
      </c>
      <c r="D14" s="15" t="s">
        <v>80</v>
      </c>
      <c r="E14" s="16" t="n">
        <v>0</v>
      </c>
      <c r="F14" s="16" t="n">
        <v>0</v>
      </c>
      <c r="G14" s="16" t="n">
        <v>0</v>
      </c>
      <c r="H14" s="16" t="n">
        <v>0</v>
      </c>
      <c r="I14" s="17" t="n">
        <f aca="false">N(E14)+N(F14)*12+N(H14)</f>
        <v>0</v>
      </c>
      <c r="J14" s="17" t="n">
        <f aca="false">N(E14)+N(G14)*12+N(H14)</f>
        <v>0</v>
      </c>
      <c r="K14" s="15" t="s">
        <v>87</v>
      </c>
    </row>
    <row r="15" customFormat="false" ht="15" hidden="false" customHeight="false" outlineLevel="0" collapsed="false">
      <c r="A15" s="13" t="s">
        <v>88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customFormat="false" ht="26.85" hidden="false" customHeight="false" outlineLevel="0" collapsed="false">
      <c r="A16" s="15" t="s">
        <v>88</v>
      </c>
      <c r="B16" s="15" t="s">
        <v>89</v>
      </c>
      <c r="C16" s="15" t="s">
        <v>90</v>
      </c>
      <c r="D16" s="15" t="s">
        <v>69</v>
      </c>
      <c r="E16" s="16" t="n">
        <v>0</v>
      </c>
      <c r="F16" s="16" t="n">
        <v>0</v>
      </c>
      <c r="G16" s="16" t="n">
        <v>19</v>
      </c>
      <c r="H16" s="16" t="n">
        <v>0</v>
      </c>
      <c r="I16" s="17" t="n">
        <f aca="false">N(E16)+N(F16)*12+N(H16)</f>
        <v>0</v>
      </c>
      <c r="J16" s="17" t="n">
        <f aca="false">N(E16)+N(G16)*12+N(H16)</f>
        <v>228</v>
      </c>
      <c r="K16" s="15" t="s">
        <v>91</v>
      </c>
    </row>
    <row r="17" customFormat="false" ht="26.85" hidden="false" customHeight="false" outlineLevel="0" collapsed="false">
      <c r="A17" s="15" t="s">
        <v>88</v>
      </c>
      <c r="B17" s="15" t="s">
        <v>92</v>
      </c>
      <c r="C17" s="15" t="s">
        <v>93</v>
      </c>
      <c r="D17" s="15" t="s">
        <v>69</v>
      </c>
      <c r="E17" s="16" t="n">
        <v>0</v>
      </c>
      <c r="F17" s="16" t="n">
        <v>0</v>
      </c>
      <c r="G17" s="16" t="n">
        <v>0</v>
      </c>
      <c r="H17" s="16" t="n">
        <v>0</v>
      </c>
      <c r="I17" s="17" t="n">
        <f aca="false">N(E17)+N(F17)*12+N(H17)</f>
        <v>0</v>
      </c>
      <c r="J17" s="17" t="n">
        <f aca="false">N(E17)+N(G17)*12+N(H17)</f>
        <v>0</v>
      </c>
      <c r="K17" s="15" t="s">
        <v>94</v>
      </c>
    </row>
    <row r="18" customFormat="false" ht="15" hidden="false" customHeight="false" outlineLevel="0" collapsed="false">
      <c r="A18" s="15" t="s">
        <v>88</v>
      </c>
      <c r="B18" s="15" t="s">
        <v>95</v>
      </c>
      <c r="C18" s="15" t="s">
        <v>96</v>
      </c>
      <c r="D18" s="15" t="s">
        <v>97</v>
      </c>
      <c r="E18" s="16" t="n">
        <v>0</v>
      </c>
      <c r="F18" s="16" t="n">
        <v>0</v>
      </c>
      <c r="G18" s="16" t="n">
        <v>0</v>
      </c>
      <c r="H18" s="16" t="n">
        <v>20</v>
      </c>
      <c r="I18" s="17" t="n">
        <f aca="false">N(E18)+N(F18)*12+N(H18)</f>
        <v>20</v>
      </c>
      <c r="J18" s="17" t="n">
        <f aca="false">N(E18)+N(G18)*12+N(H18)</f>
        <v>20</v>
      </c>
      <c r="K18" s="15" t="s">
        <v>98</v>
      </c>
    </row>
    <row r="19" customFormat="false" ht="26.85" hidden="false" customHeight="false" outlineLevel="0" collapsed="false">
      <c r="A19" s="15" t="s">
        <v>88</v>
      </c>
      <c r="B19" s="15" t="s">
        <v>99</v>
      </c>
      <c r="C19" s="15" t="s">
        <v>100</v>
      </c>
      <c r="D19" s="15" t="s">
        <v>101</v>
      </c>
      <c r="E19" s="16" t="n">
        <v>0</v>
      </c>
      <c r="F19" s="16" t="n">
        <v>0</v>
      </c>
      <c r="G19" s="16" t="n">
        <v>0</v>
      </c>
      <c r="H19" s="16" t="n">
        <v>0</v>
      </c>
      <c r="I19" s="17" t="n">
        <f aca="false">N(E19)+N(F19)*12+N(H19)</f>
        <v>0</v>
      </c>
      <c r="J19" s="17" t="n">
        <f aca="false">N(E19)+N(G19)*12+N(H19)</f>
        <v>0</v>
      </c>
      <c r="K19" s="15" t="s">
        <v>102</v>
      </c>
    </row>
    <row r="20" customFormat="false" ht="15" hidden="false" customHeight="false" outlineLevel="0" collapsed="false">
      <c r="A20" s="13" t="s">
        <v>103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customFormat="false" ht="26.85" hidden="false" customHeight="false" outlineLevel="0" collapsed="false">
      <c r="A21" s="15" t="s">
        <v>103</v>
      </c>
      <c r="B21" s="15" t="s">
        <v>104</v>
      </c>
      <c r="C21" s="15" t="s">
        <v>105</v>
      </c>
      <c r="D21" s="15" t="s">
        <v>69</v>
      </c>
      <c r="E21" s="16" t="n">
        <v>0</v>
      </c>
      <c r="F21" s="16" t="n">
        <v>0</v>
      </c>
      <c r="G21" s="16" t="n">
        <v>0</v>
      </c>
      <c r="H21" s="16" t="n">
        <v>0</v>
      </c>
      <c r="I21" s="17" t="n">
        <f aca="false">N(E21)+N(F21)*12+N(H21)</f>
        <v>0</v>
      </c>
      <c r="J21" s="17" t="n">
        <f aca="false">N(E21)+N(G21)*12+N(H21)</f>
        <v>0</v>
      </c>
      <c r="K21" s="15" t="s">
        <v>106</v>
      </c>
    </row>
    <row r="22" customFormat="false" ht="26.85" hidden="false" customHeight="false" outlineLevel="0" collapsed="false">
      <c r="A22" s="15" t="s">
        <v>103</v>
      </c>
      <c r="B22" s="15" t="s">
        <v>107</v>
      </c>
      <c r="C22" s="15" t="s">
        <v>108</v>
      </c>
      <c r="D22" s="15" t="s">
        <v>109</v>
      </c>
      <c r="E22" s="19"/>
      <c r="F22" s="16" t="n">
        <v>0</v>
      </c>
      <c r="G22" s="16" t="n">
        <v>0</v>
      </c>
      <c r="H22" s="19"/>
      <c r="I22" s="17" t="n">
        <f aca="false">N(E22)+N(F22)*12+N(H22)</f>
        <v>0</v>
      </c>
      <c r="J22" s="17" t="n">
        <f aca="false">N(E22)+N(G22)*12+N(H22)</f>
        <v>0</v>
      </c>
      <c r="K22" s="15" t="s">
        <v>110</v>
      </c>
    </row>
    <row r="23" customFormat="false" ht="26.85" hidden="false" customHeight="false" outlineLevel="0" collapsed="false">
      <c r="A23" s="15" t="s">
        <v>103</v>
      </c>
      <c r="B23" s="15" t="s">
        <v>111</v>
      </c>
      <c r="C23" s="15" t="s">
        <v>112</v>
      </c>
      <c r="D23" s="15" t="s">
        <v>109</v>
      </c>
      <c r="E23" s="19"/>
      <c r="F23" s="16" t="n">
        <v>0</v>
      </c>
      <c r="G23" s="16" t="n">
        <v>0</v>
      </c>
      <c r="H23" s="19"/>
      <c r="I23" s="17" t="n">
        <f aca="false">N(E23)+N(F23)*12+N(H23)</f>
        <v>0</v>
      </c>
      <c r="J23" s="17" t="n">
        <f aca="false">N(E23)+N(G23)*12+N(H23)</f>
        <v>0</v>
      </c>
      <c r="K23" s="15" t="s">
        <v>113</v>
      </c>
    </row>
    <row r="24" customFormat="false" ht="15" hidden="false" customHeight="false" outlineLevel="0" collapsed="false">
      <c r="A24" s="15" t="s">
        <v>103</v>
      </c>
      <c r="B24" s="15" t="s">
        <v>114</v>
      </c>
      <c r="C24" s="15" t="s">
        <v>115</v>
      </c>
      <c r="D24" s="15" t="s">
        <v>80</v>
      </c>
      <c r="E24" s="19"/>
      <c r="F24" s="19"/>
      <c r="G24" s="19"/>
      <c r="H24" s="19"/>
      <c r="I24" s="17" t="n">
        <f aca="false">N(E24)+N(F24)*12+N(H24)</f>
        <v>0</v>
      </c>
      <c r="J24" s="17" t="n">
        <f aca="false">N(E24)+N(G24)*12+N(H24)</f>
        <v>0</v>
      </c>
      <c r="K24" s="15" t="s">
        <v>116</v>
      </c>
    </row>
    <row r="26" customFormat="false" ht="15" hidden="false" customHeight="false" outlineLevel="0" collapsed="false">
      <c r="A26" s="7" t="s">
        <v>117</v>
      </c>
      <c r="E26" s="20" t="n">
        <f aca="false">SUM(E5:E24)</f>
        <v>25</v>
      </c>
      <c r="F26" s="20" t="n">
        <f aca="false">SUM(F5:F24)</f>
        <v>32.38</v>
      </c>
      <c r="G26" s="20" t="n">
        <f aca="false">SUM(G5:G24)</f>
        <v>172.8</v>
      </c>
      <c r="H26" s="20" t="n">
        <f aca="false">SUM(H5:H24)</f>
        <v>119</v>
      </c>
      <c r="I26" s="20" t="n">
        <f aca="false">SUM(I5:I24)</f>
        <v>532.56</v>
      </c>
      <c r="J26" s="20" t="n">
        <f aca="false">SUM(J5:J24)</f>
        <v>2217.6</v>
      </c>
    </row>
    <row r="27" customFormat="false" ht="15" hidden="false" customHeight="false" outlineLevel="0" collapsed="false">
      <c r="A27" s="7" t="s">
        <v>118</v>
      </c>
      <c r="E27" s="21" t="n">
        <f aca="false">E26*Assumptions!$B$14</f>
        <v>91</v>
      </c>
      <c r="F27" s="21" t="n">
        <f aca="false">F26*Assumptions!$B$14</f>
        <v>117.8632</v>
      </c>
      <c r="G27" s="21" t="n">
        <f aca="false">G26*Assumptions!$B$14</f>
        <v>628.992</v>
      </c>
      <c r="H27" s="21" t="n">
        <f aca="false">H26*Assumptions!$B$14</f>
        <v>433.16</v>
      </c>
      <c r="I27" s="21" t="n">
        <f aca="false">I26*Assumptions!$B$14</f>
        <v>1938.5184</v>
      </c>
      <c r="J27" s="21" t="n">
        <f aca="false">J26*Assumptions!$B$14</f>
        <v>8072.064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119</v>
      </c>
    </row>
    <row r="3" customFormat="false" ht="15" hidden="false" customHeight="false" outlineLevel="0" collapsed="false">
      <c r="A3" s="4" t="s">
        <v>120</v>
      </c>
      <c r="B3" s="22" t="s">
        <v>121</v>
      </c>
    </row>
    <row r="4" customFormat="false" ht="15" hidden="false" customHeight="false" outlineLevel="0" collapsed="false">
      <c r="A4" s="4" t="s">
        <v>67</v>
      </c>
      <c r="B4" s="22" t="s">
        <v>122</v>
      </c>
    </row>
    <row r="5" customFormat="false" ht="15" hidden="false" customHeight="false" outlineLevel="0" collapsed="false">
      <c r="A5" s="4" t="s">
        <v>123</v>
      </c>
      <c r="B5" s="22" t="s">
        <v>124</v>
      </c>
    </row>
    <row r="6" customFormat="false" ht="15" hidden="false" customHeight="false" outlineLevel="0" collapsed="false">
      <c r="A6" s="4" t="s">
        <v>125</v>
      </c>
      <c r="B6" s="22" t="s">
        <v>126</v>
      </c>
    </row>
    <row r="7" customFormat="false" ht="15" hidden="false" customHeight="false" outlineLevel="0" collapsed="false">
      <c r="A7" s="4" t="s">
        <v>127</v>
      </c>
      <c r="B7" s="22" t="s">
        <v>128</v>
      </c>
    </row>
    <row r="8" customFormat="false" ht="15" hidden="false" customHeight="false" outlineLevel="0" collapsed="false">
      <c r="A8" s="4" t="s">
        <v>129</v>
      </c>
      <c r="B8" s="22" t="s">
        <v>130</v>
      </c>
    </row>
    <row r="9" customFormat="false" ht="15" hidden="false" customHeight="false" outlineLevel="0" collapsed="false">
      <c r="A9" s="4" t="s">
        <v>58</v>
      </c>
      <c r="B9" s="22" t="s">
        <v>131</v>
      </c>
    </row>
    <row r="10" customFormat="false" ht="15" hidden="false" customHeight="false" outlineLevel="0" collapsed="false">
      <c r="A10" s="4" t="s">
        <v>62</v>
      </c>
      <c r="B10" s="22" t="s">
        <v>132</v>
      </c>
    </row>
    <row r="11" customFormat="false" ht="15" hidden="false" customHeight="false" outlineLevel="0" collapsed="false">
      <c r="A11" s="4" t="s">
        <v>133</v>
      </c>
      <c r="B11" s="22" t="s">
        <v>134</v>
      </c>
    </row>
  </sheetData>
  <hyperlinks>
    <hyperlink ref="B3" r:id="rId1" display="https://expo.dev/pricing"/>
    <hyperlink ref="B4" r:id="rId2" display="https://supabase.com/pricing"/>
    <hyperlink ref="B5" r:id="rId3" display="https://makerkit.dev/blog/md/saas/supabase-pricing"/>
    <hyperlink ref="B6" r:id="rId4" display="https://vercel.com/docs/plans/hobby"/>
    <hyperlink ref="B7" r:id="rId5" display="https://whautomate.com/whatsapp-business-api-pricing-qatar"/>
    <hyperlink ref="B8" r:id="rId6" display="https://chatmi.io/en/blog/whatsapp-pricing-2026-guide"/>
    <hyperlink ref="B9" r:id="rId7" display="https://developer.apple.com/programs/"/>
    <hyperlink ref="B10" r:id="rId8" display="https://play.google.com/console/signup"/>
    <hyperlink ref="B11" r:id="rId9" display="https://www.anthropic.com/pric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2026-10-08T11:55:44Z</dcterms:created>
  <dc:creator>openpyxl</dc:creator>
  <dc:description/>
  <dc:language>en-US</dc:language>
  <cp:lastModifiedBy/>
  <dcterms:modified xsi:type="dcterms:W3CDTF">2026-10-08T11:55:44Z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